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l Waste Matters\Documents\Scott\DWT\"/>
    </mc:Choice>
  </mc:AlternateContent>
  <xr:revisionPtr revIDLastSave="0" documentId="13_ncr:1_{B7FD070C-0BA9-4594-93B9-6E3617B7666D}" xr6:coauthVersionLast="47" xr6:coauthVersionMax="47" xr10:uidLastSave="{00000000-0000-0000-0000-000000000000}"/>
  <bookViews>
    <workbookView xWindow="-120" yWindow="-120" windowWidth="29040" windowHeight="15720" activeTab="1" xr2:uid="{00278AC9-4508-481C-989D-4513CDE686F8}"/>
  </bookViews>
  <sheets>
    <sheet name="Data" sheetId="3" r:id="rId1"/>
    <sheet name="Movements" sheetId="1" r:id="rId2"/>
    <sheet name="Items" sheetId="2" r:id="rId3"/>
  </sheets>
  <functionGroups builtInGroupCount="19"/>
  <definedNames>
    <definedName name="Containers">tblContainers[Type of containers]</definedName>
    <definedName name="NoCNNReasons">tblCNNReason[reasonForNoConsignmentCode]</definedName>
    <definedName name="NoRNReasons">tblRNReason[reasonForNoRegistrationNumber]</definedName>
    <definedName name="sourceOfComponents">tblSourceComps[sourceOfComponents]</definedName>
    <definedName name="States">tblState[Physical form]</definedName>
    <definedName name="TransportMeans">tblTransport[Means of transport]</definedName>
    <definedName name="Units">tblUnits[Weight unit]</definedName>
    <definedName name="YesNo">tblWEstimate[Weight estimated]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" i="1" l="1"/>
  <c r="U3" i="1"/>
  <c r="T3" i="1"/>
  <c r="S3" i="1"/>
  <c r="R3" i="1"/>
  <c r="Q3" i="1"/>
  <c r="P3" i="1"/>
  <c r="N3" i="1"/>
  <c r="M3" i="1"/>
  <c r="G3" i="1"/>
  <c r="F3" i="1"/>
  <c r="D3" i="1"/>
  <c r="C3" i="1"/>
  <c r="A3" i="1"/>
  <c r="B3" i="1"/>
</calcChain>
</file>

<file path=xl/sharedStrings.xml><?xml version="1.0" encoding="utf-8"?>
<sst xmlns="http://schemas.openxmlformats.org/spreadsheetml/2006/main" count="143" uniqueCount="99">
  <si>
    <t>Mandatory</t>
  </si>
  <si>
    <t>Optional</t>
  </si>
  <si>
    <t>Conditional Mandatory</t>
  </si>
  <si>
    <t>Conditional mandatory</t>
  </si>
  <si>
    <t>Site name</t>
  </si>
  <si>
    <t>Receipt address</t>
  </si>
  <si>
    <t>Receipt post code</t>
  </si>
  <si>
    <t>Receiver’s authorisation number</t>
  </si>
  <si>
    <t>Regulatory position statements (RPS)</t>
  </si>
  <si>
    <t>Receiver email</t>
  </si>
  <si>
    <t>Receiver phone number</t>
  </si>
  <si>
    <t>Date received</t>
  </si>
  <si>
    <t>Time received</t>
  </si>
  <si>
    <t>Hazardous waste consignment code</t>
  </si>
  <si>
    <t>Give reasons for not having a consignment number</t>
  </si>
  <si>
    <t>Your unique reference ID</t>
  </si>
  <si>
    <t>Special handling requirement</t>
  </si>
  <si>
    <t>Carrier registration number</t>
  </si>
  <si>
    <t>If Carrier registration number not applicable, give reason(s)</t>
  </si>
  <si>
    <t>Carrier organisation name</t>
  </si>
  <si>
    <t>Carrier address</t>
  </si>
  <si>
    <t>Carrier post code</t>
  </si>
  <si>
    <t>Carrier contact email address</t>
  </si>
  <si>
    <t>Carrier contact phone number</t>
  </si>
  <si>
    <t>Means of transport</t>
  </si>
  <si>
    <t>Vehicle registration number (if by road)</t>
  </si>
  <si>
    <t>Broker or dealer organisation name</t>
  </si>
  <si>
    <t>Broker or dealer address</t>
  </si>
  <si>
    <t>Broker or dealer post code</t>
  </si>
  <si>
    <t>Broker or dealer email</t>
  </si>
  <si>
    <t>Broker or dealer phone number</t>
  </si>
  <si>
    <t>Broker or dealer registration number</t>
  </si>
  <si>
    <t>EWC code (could be multiple EWC codes for one load)</t>
  </si>
  <si>
    <t>Waste description</t>
  </si>
  <si>
    <t>Physical form</t>
  </si>
  <si>
    <t>Number of containers used</t>
  </si>
  <si>
    <t>Type of containers</t>
  </si>
  <si>
    <t>Weight unit of measurement</t>
  </si>
  <si>
    <t>Total weight of waste</t>
  </si>
  <si>
    <t>Is the waste weight estimated?</t>
  </si>
  <si>
    <t>Does the waste contain persistent organic pollutants (POPs)?</t>
  </si>
  <si>
    <t>POP name &amp; concentration value</t>
  </si>
  <si>
    <t>Source of POPs components</t>
  </si>
  <si>
    <t>Is the waste hazardous?</t>
  </si>
  <si>
    <t>Hazardous property codes (Haz code)</t>
  </si>
  <si>
    <t>Component name &amp; concentration value</t>
  </si>
  <si>
    <t>Source of Hazardous components</t>
  </si>
  <si>
    <t>Disposal / Recovery code &amp; Weight</t>
  </si>
  <si>
    <t>Reference ID</t>
  </si>
  <si>
    <t>Road</t>
  </si>
  <si>
    <t>Solid</t>
  </si>
  <si>
    <t>reasonForNoConsignmentCode</t>
  </si>
  <si>
    <t>NON_HAZ_WASTE_TRANSFER</t>
  </si>
  <si>
    <t>NO_DOC_WITH_WASTE</t>
  </si>
  <si>
    <t>HWRC_RECEIPT</t>
  </si>
  <si>
    <t>Rail</t>
  </si>
  <si>
    <t>Air</t>
  </si>
  <si>
    <t>Sea</t>
  </si>
  <si>
    <t>Inland Waterway</t>
  </si>
  <si>
    <t>Pipe</t>
  </si>
  <si>
    <t>Other</t>
  </si>
  <si>
    <t>reasonForNoRegistrationNumber</t>
  </si>
  <si>
    <t>ON_SITE</t>
  </si>
  <si>
    <t>HOUSEHOLD</t>
  </si>
  <si>
    <t>ONE_OFF</t>
  </si>
  <si>
    <t>MARINE</t>
  </si>
  <si>
    <t>Gas</t>
  </si>
  <si>
    <t>Liquid</t>
  </si>
  <si>
    <t>Powder</t>
  </si>
  <si>
    <t>Sludge</t>
  </si>
  <si>
    <t>Mixed</t>
  </si>
  <si>
    <t>[BAG] Bag / Sack e.g.(rubble bag, refuse sack)</t>
  </si>
  <si>
    <t>[BAL] Bale</t>
  </si>
  <si>
    <t>[BOX] Box, Carton, Crate</t>
  </si>
  <si>
    <t>[CAN] Can/Jerrycan</t>
  </si>
  <si>
    <t>[CAR] Carrier (e.g. pallet cage)</t>
  </si>
  <si>
    <t>[CAS] Cask</t>
  </si>
  <si>
    <t>[CON] Container (unspecified)</t>
  </si>
  <si>
    <t>[DRU] Drum (typically 205L)</t>
  </si>
  <si>
    <t>[FIB] Fibre drum</t>
  </si>
  <si>
    <t>[IBC] Intermediate Bulk Container (e.g. 1000L)</t>
  </si>
  <si>
    <t>[LOO] Loose (no container)</t>
  </si>
  <si>
    <t>[PAL] Pallet (e.g. shrink‑wrapped items)</t>
  </si>
  <si>
    <t>[ROR] Roll‑on Roll‑off container (RoRo)</t>
  </si>
  <si>
    <t>[SKI] Skip</t>
  </si>
  <si>
    <t>[TAN] Tanker/Tank</t>
  </si>
  <si>
    <t>[WBI] Wheelie Bin (any size)</t>
  </si>
  <si>
    <t>Weight unit</t>
  </si>
  <si>
    <t>Grams</t>
  </si>
  <si>
    <t>Kilograms</t>
  </si>
  <si>
    <t>Tonnes</t>
  </si>
  <si>
    <t>Weight estimated</t>
  </si>
  <si>
    <t>Yes</t>
  </si>
  <si>
    <t>No</t>
  </si>
  <si>
    <t>sourceOfComponents</t>
  </si>
  <si>
    <t>NOT_PROVIDED</t>
  </si>
  <si>
    <t>PROVIDED_WITH_WASTE</t>
  </si>
  <si>
    <t>GUIDANCE</t>
  </si>
  <si>
    <t xml:space="preserve">OWN_TESTING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</si>
</sst>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10101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2" fillId="2" borderId="3" xfId="0" applyFont="1" applyFill="1" applyBorder="1"/>
    <xf numFmtId="0" fontId="1" fillId="2" borderId="6" xfId="0" quotePrefix="1" applyFont="1" applyFill="1" applyBorder="1"/>
    <xf numFmtId="14" fontId="1" fillId="2" borderId="6" xfId="0" applyNumberFormat="1" applyFont="1" applyFill="1" applyBorder="1"/>
    <xf numFmtId="0" fontId="1" fillId="2" borderId="10" xfId="0" applyFont="1" applyFill="1" applyBorder="1"/>
    <xf numFmtId="0" fontId="1" fillId="2" borderId="9" xfId="0" applyFont="1" applyFill="1" applyBorder="1"/>
    <xf numFmtId="0" fontId="1" fillId="2" borderId="8" xfId="0" applyFont="1" applyFill="1" applyBorder="1"/>
    <xf numFmtId="20" fontId="1" fillId="2" borderId="6" xfId="0" applyNumberFormat="1" applyFont="1" applyFill="1" applyBorder="1"/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4" xfId="0" applyFont="1" applyFill="1" applyBorder="1" applyAlignment="1">
      <alignment wrapText="1"/>
    </xf>
  </cellXfs>
  <cellStyles count="1">
    <cellStyle name="Normal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/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border diagonalUp="0" diagonalDown="0">
        <left/>
        <right style="thin">
          <color theme="0" tint="-0.499984740745262"/>
        </right>
        <top style="thin">
          <color theme="0" tint="-0.499984740745262"/>
        </top>
        <bottom/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0101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</dxfs>
  <tableStyles count="0" defaultTableStyle="TableStyleMedium2" defaultPivotStyle="PivotStyleLight16"/>
  <colors>
    <mruColors>
      <color rgb="FFEAEAEA"/>
      <color rgb="FF101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1571625</xdr:colOff>
          <xdr:row>10</xdr:row>
          <xdr:rowOff>161925</xdr:rowOff>
        </xdr:from>
        <xdr:to>
          <xdr:col>2</xdr:col>
          <xdr:colOff>695325</xdr:colOff>
          <xdr:row>16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All to Both Versions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8F91B-C99C-4003-91D3-6F1DF0A71B0D}" name="tblCNNReason" displayName="tblCNNReason" ref="A1:A4" totalsRowShown="0" headerRowDxfId="80" dataDxfId="78" headerRowBorderDxfId="79" tableBorderDxfId="77" totalsRowBorderDxfId="76">
  <autoFilter ref="A1:A4" xr:uid="{19C8F91B-C99C-4003-91D3-6F1DF0A71B0D}"/>
  <tableColumns count="1">
    <tableColumn id="1" xr3:uid="{DFF57E2C-36E5-44FD-93DC-B9BDAC2C226D}" name="reasonForNoConsignmentCode" dataDxfId="7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F208A0-C4B5-4FED-8B9F-116EFD23077F}" name="tblTransport" displayName="tblTransport" ref="C1:C8" totalsRowShown="0" headerRowDxfId="74" dataDxfId="72" headerRowBorderDxfId="73" tableBorderDxfId="71" totalsRowBorderDxfId="70">
  <autoFilter ref="C1:C8" xr:uid="{B8F208A0-C4B5-4FED-8B9F-116EFD23077F}"/>
  <tableColumns count="1">
    <tableColumn id="1" xr3:uid="{712EABCF-B125-46A1-B60B-CC20AAD1CD39}" name="Means of transport" dataDxfId="6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DD998F1-AC9E-413D-B229-A9359F6488A2}" name="tblRNReason" displayName="tblRNReason" ref="E1:E5" totalsRowShown="0" headerRowDxfId="68" dataDxfId="66" headerRowBorderDxfId="67" tableBorderDxfId="65" totalsRowBorderDxfId="64">
  <autoFilter ref="E1:E5" xr:uid="{6DD998F1-AC9E-413D-B229-A9359F6488A2}"/>
  <tableColumns count="1">
    <tableColumn id="1" xr3:uid="{A8709257-D6A8-4636-8E30-659C54A9A32A}" name="reasonForNoRegistrationNumber" dataDxfId="6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8EF291-0F58-441E-A8AA-F99FA17AE73D}" name="tblState" displayName="tblState" ref="G1:G7" totalsRowShown="0" headerRowDxfId="62" dataDxfId="60" headerRowBorderDxfId="61" tableBorderDxfId="59" totalsRowBorderDxfId="58">
  <autoFilter ref="G1:G7" xr:uid="{F88EF291-0F58-441E-A8AA-F99FA17AE73D}"/>
  <tableColumns count="1">
    <tableColumn id="1" xr3:uid="{A3FD4AF5-6E71-4078-87D5-EBF00792EF9C}" name="Physical form" dataDxfId="5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3A6059-E725-4D3F-A847-C4232A9AC1E9}" name="tblContainers" displayName="tblContainers" ref="I1:I17" totalsRowShown="0" headerRowDxfId="56" dataDxfId="54" headerRowBorderDxfId="55" tableBorderDxfId="53" totalsRowBorderDxfId="52">
  <autoFilter ref="I1:I17" xr:uid="{EC3A6059-E725-4D3F-A847-C4232A9AC1E9}"/>
  <tableColumns count="1">
    <tableColumn id="1" xr3:uid="{9BB256A2-0985-46C4-B911-8DD02838D9D7}" name="Type of containers" dataDxfId="5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50B2C92-98FB-4EB8-BBAD-739936E585A5}" name="tblUnits" displayName="tblUnits" ref="K1:K4" totalsRowShown="0" headerRowDxfId="50" dataDxfId="48" headerRowBorderDxfId="49" tableBorderDxfId="47" totalsRowBorderDxfId="46">
  <autoFilter ref="K1:K4" xr:uid="{E50B2C92-98FB-4EB8-BBAD-739936E585A5}"/>
  <tableColumns count="1">
    <tableColumn id="1" xr3:uid="{19ECA3F2-D976-4B54-AF68-1AFF17159C09}" name="Weight unit" dataDxfId="4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1C389D7-66A4-4655-9D04-0691E6694688}" name="tblWEstimate" displayName="tblWEstimate" ref="M1:M3" totalsRowShown="0" headerRowDxfId="44" dataDxfId="42" headerRowBorderDxfId="43" tableBorderDxfId="41" totalsRowBorderDxfId="40">
  <autoFilter ref="M1:M3" xr:uid="{81C389D7-66A4-4655-9D04-0691E6694688}"/>
  <tableColumns count="1">
    <tableColumn id="1" xr3:uid="{2E46A67C-8E4E-44E0-9DE8-73023173F3BC}" name="Weight estimated" dataDxfId="39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7AB44AC-AD72-45E6-A8EC-0C53F3483887}" name="tblSourceComps" displayName="tblSourceComps" ref="O1:O5" totalsRowShown="0" headerRowDxfId="38" dataDxfId="36" headerRowBorderDxfId="37" tableBorderDxfId="35" totalsRowBorderDxfId="34">
  <autoFilter ref="O1:O5" xr:uid="{E7AB44AC-AD72-45E6-A8EC-0C53F3483887}"/>
  <tableColumns count="1">
    <tableColumn id="1" xr3:uid="{5AFCD2F6-7EEE-4E92-B71D-571A515EB30D}" name="sourceOfComponents" dataDxfId="33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4C61F9-B992-4D7C-82C1-3580DE23AB21}" name="tblMovements" displayName="tblMovements" ref="A2:AB3" totalsRowShown="0" headerRowDxfId="32" dataDxfId="30" headerRowBorderDxfId="31" tableBorderDxfId="29" totalsRowBorderDxfId="28">
  <autoFilter ref="A2:AB3" xr:uid="{BC4C61F9-B992-4D7C-82C1-3580DE23AB21}"/>
  <tableColumns count="28">
    <tableColumn id="2" xr3:uid="{9B9B1A1C-1968-463D-A5AA-E743978B4FAF}" name="Site name" dataDxfId="27">
      <calculatedColumnFormula>"All Waste Matters Ltd."</calculatedColumnFormula>
    </tableColumn>
    <tableColumn id="3" xr3:uid="{2E275227-9836-4285-AD0D-7ED3BCE08ACF}" name="Receipt address" dataDxfId="26">
      <calculatedColumnFormula>"Unit 1 Joseph Wilson Industrial Estate, Millstrood Road, Whitstable"</calculatedColumnFormula>
    </tableColumn>
    <tableColumn id="4" xr3:uid="{F53672A1-7772-4396-8878-CE8CA392E51D}" name="Receipt post code" dataDxfId="25">
      <calculatedColumnFormula>"CT5 3PS"</calculatedColumnFormula>
    </tableColumn>
    <tableColumn id="5" xr3:uid="{6B231D12-3E9A-4E68-A91C-B0069100F381}" name="Receiver’s authorisation number" dataDxfId="24">
      <calculatedColumnFormula>"EPR/WP3295EX"</calculatedColumnFormula>
    </tableColumn>
    <tableColumn id="6" xr3:uid="{50D2CC7A-0CDF-452C-B9B7-ACD5165A13E3}" name="Regulatory position statements (RPS)" dataDxfId="23"/>
    <tableColumn id="7" xr3:uid="{AE87D053-9470-4D6F-B43C-13DE7E31D1CB}" name="Receiver email" dataDxfId="22">
      <calculatedColumnFormula>"info@allwastematters.co.uk"</calculatedColumnFormula>
    </tableColumn>
    <tableColumn id="8" xr3:uid="{F51351EC-1919-4530-9F01-363CB97E5F06}" name="Receiver phone number" dataDxfId="21">
      <calculatedColumnFormula>"01227 280888"</calculatedColumnFormula>
    </tableColumn>
    <tableColumn id="9" xr3:uid="{E5559A4C-8A24-4D7A-8F7D-22E0D26F1E4D}" name="Date received" dataDxfId="20"/>
    <tableColumn id="10" xr3:uid="{737C2317-97B2-407C-BDAA-CB5939069BCF}" name="Time received" dataDxfId="19"/>
    <tableColumn id="11" xr3:uid="{856E4FBF-99A3-4797-9A92-A85FB2E93D8E}" name="Hazardous waste consignment code" dataDxfId="18"/>
    <tableColumn id="12" xr3:uid="{BE296634-7CA8-4A91-8480-E6E8B670E1FA}" name="Give reasons for not having a consignment number" dataDxfId="17"/>
    <tableColumn id="13" xr3:uid="{487430E0-9C79-4AA3-85B5-8BF06F2A3D31}" name="Your unique reference ID" dataDxfId="16"/>
    <tableColumn id="14" xr3:uid="{18ECDF02-9C27-4AB6-B609-6F06647DBBE3}" name="Special handling requirement" dataDxfId="15">
      <calculatedColumnFormula>"PPE"</calculatedColumnFormula>
    </tableColumn>
    <tableColumn id="15" xr3:uid="{4BEED9DE-C9A0-498C-9513-EDFC101B07A7}" name="Carrier registration number" dataDxfId="14">
      <calculatedColumnFormula>"CBDU73993"</calculatedColumnFormula>
    </tableColumn>
    <tableColumn id="16" xr3:uid="{26BA2365-7142-4B08-B866-DCA71219C9D6}" name="If Carrier registration number not applicable, give reason(s)" dataDxfId="13"/>
    <tableColumn id="17" xr3:uid="{BCA8E890-DB6E-4585-8C26-6016BC1936A7}" name="Carrier organisation name" dataDxfId="12">
      <calculatedColumnFormula>"All Waste Matters Ltd."</calculatedColumnFormula>
    </tableColumn>
    <tableColumn id="18" xr3:uid="{003EBE9B-4CA4-421E-8429-A5CBE701F5A6}" name="Carrier address" dataDxfId="11">
      <calculatedColumnFormula>"Unit 1 Joseph Wilson Industrial Estate, Millstrood Road, Whitstable"</calculatedColumnFormula>
    </tableColumn>
    <tableColumn id="19" xr3:uid="{2A9035E8-62C3-4D7E-BA0B-ABF36BE346D0}" name="Carrier post code" dataDxfId="10">
      <calculatedColumnFormula>"CT5 3PS"</calculatedColumnFormula>
    </tableColumn>
    <tableColumn id="20" xr3:uid="{C39DDEF8-656A-4382-A6F0-B254DC2356C6}" name="Carrier contact email address" dataDxfId="9">
      <calculatedColumnFormula>"info@allwastematters.co.uk"</calculatedColumnFormula>
    </tableColumn>
    <tableColumn id="21" xr3:uid="{0E61B732-D759-48B3-9DE8-676708F3027D}" name="Carrier contact phone number" dataDxfId="8">
      <calculatedColumnFormula>"01227 280888"</calculatedColumnFormula>
    </tableColumn>
    <tableColumn id="22" xr3:uid="{C39B58B5-7BB4-46EC-AE3D-A8F4FFD68BE9}" name="Means of transport" dataDxfId="7">
      <calculatedColumnFormula>"Road"</calculatedColumnFormula>
    </tableColumn>
    <tableColumn id="23" xr3:uid="{A7950826-3F21-46BE-B5BC-5A26EC3B32BD}" name="Vehicle registration number (if by road)" dataDxfId="6">
      <calculatedColumnFormula>"YB22 OFC"</calculatedColumnFormula>
    </tableColumn>
    <tableColumn id="24" xr3:uid="{A80C0BFD-4005-47CA-9E8A-3ED2C42F0DDB}" name="Broker or dealer organisation name" dataDxfId="5"/>
    <tableColumn id="25" xr3:uid="{31B8F26C-3BA0-4A06-8D90-F88577657518}" name="Broker or dealer address" dataDxfId="4"/>
    <tableColumn id="26" xr3:uid="{993F9716-BDE0-48E8-B75A-A77980F318ED}" name="Broker or dealer post code" dataDxfId="3"/>
    <tableColumn id="27" xr3:uid="{1444C574-A70C-47F2-A1C6-873502D4EC63}" name="Broker or dealer email" dataDxfId="2"/>
    <tableColumn id="28" xr3:uid="{8D969A7C-2045-4216-A527-B5A6EE49F638}" name="Broker or dealer phone number" dataDxfId="1"/>
    <tableColumn id="29" xr3:uid="{7100B688-085C-421B-A280-A39F1C93FA1F}" name="Broker or dealer registration number" dataDxfId="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BCE9C3E-26C6-4161-BBA8-31F33B43949A}" name="tblItems" displayName="tblItems" ref="A2:Q3" insertRow="1" totalsRowShown="0" headerRowDxfId="102" dataDxfId="100" headerRowBorderDxfId="101" tableBorderDxfId="99" totalsRowBorderDxfId="98">
  <autoFilter ref="A2:Q3" xr:uid="{6BCE9C3E-26C6-4161-BBA8-31F33B43949A}"/>
  <tableColumns count="17">
    <tableColumn id="1" xr3:uid="{7A1376C8-9DCD-43AB-B7D7-6460383D33D9}" name="Reference ID" dataDxfId="97"/>
    <tableColumn id="2" xr3:uid="{0E3A0432-9666-4525-A1D5-E166D03D0940}" name="EWC code (could be multiple EWC codes for one load)" dataDxfId="96"/>
    <tableColumn id="3" xr3:uid="{00F42C89-4AB7-424A-88FF-66784F2C3CD7}" name="Waste description" dataDxfId="95"/>
    <tableColumn id="4" xr3:uid="{F460EFBA-377C-4D35-BF92-B2B1F7C30F4F}" name="Physical form" dataDxfId="94"/>
    <tableColumn id="5" xr3:uid="{DF5C7DC8-4D53-4858-AED5-668BE93045FE}" name="Number of containers used" dataDxfId="93"/>
    <tableColumn id="6" xr3:uid="{8BBE06D0-09EB-4675-A9E1-700D0DA62ECD}" name="Type of containers" dataDxfId="92"/>
    <tableColumn id="7" xr3:uid="{E4C64B88-27E2-47B5-9540-5F9144B9760E}" name="Weight unit of measurement" dataDxfId="91"/>
    <tableColumn id="8" xr3:uid="{7FCBBBFE-1A8C-4389-8C48-5B6022462BC8}" name="Total weight of waste" dataDxfId="90"/>
    <tableColumn id="9" xr3:uid="{2B48880B-0767-4FC4-B230-357B51991E23}" name="Is the waste weight estimated?" dataDxfId="89"/>
    <tableColumn id="10" xr3:uid="{B337E3A7-ACA6-4252-80E5-BB4E0E511F34}" name="Does the waste contain persistent organic pollutants (POPs)?" dataDxfId="88"/>
    <tableColumn id="11" xr3:uid="{1BDF1709-8CAB-4245-A4D1-8FED18BE54C1}" name="POP name &amp; concentration value" dataDxfId="87"/>
    <tableColumn id="12" xr3:uid="{B1BD259E-265F-4151-BF93-954BCF561CBE}" name="Source of POPs components" dataDxfId="86"/>
    <tableColumn id="13" xr3:uid="{2CC7C980-CA17-46D4-A9A4-3999579E634D}" name="Is the waste hazardous?" dataDxfId="85"/>
    <tableColumn id="14" xr3:uid="{3CBC1736-51C6-4218-8034-04EC6B243377}" name="Hazardous property codes (Haz code)" dataDxfId="84"/>
    <tableColumn id="15" xr3:uid="{4B5C36F8-6CED-4B6F-BD53-F4877C817F18}" name="Component name &amp; concentration value" dataDxfId="83"/>
    <tableColumn id="16" xr3:uid="{FCD310B8-E46F-4648-9861-AD3E0AA94F7A}" name="Source of Hazardous components" dataDxfId="82"/>
    <tableColumn id="17" xr3:uid="{91E13C14-3537-4468-9555-BBB60EB37B5B}" name="Disposal / Recovery code &amp; Weight" dataDxfId="8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B28FA-B919-45BB-A0E3-3C5F079BE94C}">
  <sheetPr codeName="Sheet3"/>
  <dimension ref="A1:O17"/>
  <sheetViews>
    <sheetView workbookViewId="0">
      <selection activeCell="D27" sqref="D27"/>
    </sheetView>
  </sheetViews>
  <sheetFormatPr defaultRowHeight="15" x14ac:dyDescent="0.25"/>
  <cols>
    <col min="1" max="1" width="30.85546875" style="1" customWidth="1"/>
    <col min="2" max="2" width="9.140625" style="1"/>
    <col min="3" max="3" width="20" style="1" customWidth="1"/>
    <col min="4" max="4" width="9.140625" style="1"/>
    <col min="5" max="5" width="32.5703125" style="1" customWidth="1"/>
    <col min="6" max="6" width="9.140625" style="1"/>
    <col min="7" max="7" width="15" style="1" customWidth="1"/>
    <col min="8" max="8" width="9.140625" style="1"/>
    <col min="9" max="9" width="19.42578125" style="1" customWidth="1"/>
    <col min="10" max="10" width="9.140625" style="1"/>
    <col min="11" max="11" width="13.7109375" style="1" customWidth="1"/>
    <col min="12" max="12" width="9.140625" style="1"/>
    <col min="13" max="13" width="19.140625" style="1" customWidth="1"/>
    <col min="14" max="14" width="9.140625" style="1"/>
    <col min="15" max="15" width="22.42578125" style="1" customWidth="1"/>
    <col min="16" max="16384" width="9.140625" style="1"/>
  </cols>
  <sheetData>
    <row r="1" spans="1:15" x14ac:dyDescent="0.25">
      <c r="A1" s="9" t="s">
        <v>51</v>
      </c>
      <c r="C1" s="9" t="s">
        <v>24</v>
      </c>
      <c r="E1" s="9" t="s">
        <v>61</v>
      </c>
      <c r="G1" s="9" t="s">
        <v>34</v>
      </c>
      <c r="I1" s="9" t="s">
        <v>36</v>
      </c>
      <c r="K1" s="9" t="s">
        <v>87</v>
      </c>
      <c r="M1" s="9" t="s">
        <v>91</v>
      </c>
      <c r="O1" s="9" t="s">
        <v>94</v>
      </c>
    </row>
    <row r="2" spans="1:15" x14ac:dyDescent="0.25">
      <c r="A2" s="8" t="s">
        <v>52</v>
      </c>
      <c r="C2" s="8" t="s">
        <v>49</v>
      </c>
      <c r="E2" s="8" t="s">
        <v>62</v>
      </c>
      <c r="G2" s="8" t="s">
        <v>66</v>
      </c>
      <c r="I2" s="8" t="s">
        <v>71</v>
      </c>
      <c r="K2" s="8" t="s">
        <v>88</v>
      </c>
      <c r="M2" s="8" t="s">
        <v>92</v>
      </c>
      <c r="O2" s="8" t="s">
        <v>95</v>
      </c>
    </row>
    <row r="3" spans="1:15" x14ac:dyDescent="0.25">
      <c r="A3" s="8" t="s">
        <v>53</v>
      </c>
      <c r="C3" s="8" t="s">
        <v>55</v>
      </c>
      <c r="E3" s="8" t="s">
        <v>63</v>
      </c>
      <c r="G3" s="8" t="s">
        <v>67</v>
      </c>
      <c r="I3" s="8" t="s">
        <v>72</v>
      </c>
      <c r="K3" s="8" t="s">
        <v>89</v>
      </c>
      <c r="M3" s="10" t="s">
        <v>93</v>
      </c>
      <c r="O3" s="8" t="s">
        <v>96</v>
      </c>
    </row>
    <row r="4" spans="1:15" x14ac:dyDescent="0.25">
      <c r="A4" s="10" t="s">
        <v>54</v>
      </c>
      <c r="C4" s="8" t="s">
        <v>56</v>
      </c>
      <c r="E4" s="8" t="s">
        <v>64</v>
      </c>
      <c r="G4" s="8" t="s">
        <v>50</v>
      </c>
      <c r="I4" s="8" t="s">
        <v>73</v>
      </c>
      <c r="K4" s="10" t="s">
        <v>90</v>
      </c>
      <c r="O4" s="8" t="s">
        <v>97</v>
      </c>
    </row>
    <row r="5" spans="1:15" x14ac:dyDescent="0.25">
      <c r="C5" s="8" t="s">
        <v>57</v>
      </c>
      <c r="E5" s="10" t="s">
        <v>65</v>
      </c>
      <c r="G5" s="8" t="s">
        <v>68</v>
      </c>
      <c r="I5" s="8" t="s">
        <v>74</v>
      </c>
      <c r="O5" s="10" t="s">
        <v>98</v>
      </c>
    </row>
    <row r="6" spans="1:15" x14ac:dyDescent="0.25">
      <c r="C6" s="8" t="s">
        <v>58</v>
      </c>
      <c r="G6" s="8" t="s">
        <v>69</v>
      </c>
      <c r="I6" s="8" t="s">
        <v>75</v>
      </c>
    </row>
    <row r="7" spans="1:15" x14ac:dyDescent="0.25">
      <c r="C7" s="8" t="s">
        <v>59</v>
      </c>
      <c r="G7" s="10" t="s">
        <v>70</v>
      </c>
      <c r="I7" s="8" t="s">
        <v>76</v>
      </c>
    </row>
    <row r="8" spans="1:15" x14ac:dyDescent="0.25">
      <c r="C8" s="10" t="s">
        <v>60</v>
      </c>
      <c r="I8" s="8" t="s">
        <v>77</v>
      </c>
    </row>
    <row r="9" spans="1:15" x14ac:dyDescent="0.25">
      <c r="I9" s="8" t="s">
        <v>78</v>
      </c>
    </row>
    <row r="10" spans="1:15" x14ac:dyDescent="0.25">
      <c r="I10" s="8" t="s">
        <v>79</v>
      </c>
    </row>
    <row r="11" spans="1:15" x14ac:dyDescent="0.25">
      <c r="I11" s="8" t="s">
        <v>80</v>
      </c>
    </row>
    <row r="12" spans="1:15" x14ac:dyDescent="0.25">
      <c r="I12" s="8" t="s">
        <v>81</v>
      </c>
    </row>
    <row r="13" spans="1:15" x14ac:dyDescent="0.25">
      <c r="I13" s="8" t="s">
        <v>82</v>
      </c>
    </row>
    <row r="14" spans="1:15" x14ac:dyDescent="0.25">
      <c r="I14" s="8" t="s">
        <v>83</v>
      </c>
    </row>
    <row r="15" spans="1:15" x14ac:dyDescent="0.25">
      <c r="I15" s="8" t="s">
        <v>84</v>
      </c>
    </row>
    <row r="16" spans="1:15" x14ac:dyDescent="0.25">
      <c r="I16" s="8" t="s">
        <v>85</v>
      </c>
    </row>
    <row r="17" spans="9:9" x14ac:dyDescent="0.25">
      <c r="I17" s="10" t="s">
        <v>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veAllAll">
                <anchor moveWithCells="1" sizeWithCells="1">
                  <from>
                    <xdr:col>0</xdr:col>
                    <xdr:colOff>1571625</xdr:colOff>
                    <xdr:row>10</xdr:row>
                    <xdr:rowOff>161925</xdr:rowOff>
                  </from>
                  <to>
                    <xdr:col>2</xdr:col>
                    <xdr:colOff>695325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8"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B76F8-0237-4D71-8C29-CF99D21E91E6}">
  <sheetPr codeName="Sheet1"/>
  <dimension ref="A1:AB3"/>
  <sheetViews>
    <sheetView tabSelected="1" workbookViewId="0">
      <selection activeCell="A3" sqref="A3"/>
    </sheetView>
  </sheetViews>
  <sheetFormatPr defaultRowHeight="15" x14ac:dyDescent="0.25"/>
  <cols>
    <col min="1" max="1" width="12" style="1" customWidth="1"/>
    <col min="2" max="2" width="17.140625" style="1" customWidth="1"/>
    <col min="3" max="3" width="18.85546875" style="1" customWidth="1"/>
    <col min="4" max="4" width="32" style="1" customWidth="1"/>
    <col min="5" max="5" width="36" style="1" customWidth="1"/>
    <col min="6" max="6" width="16.28515625" style="1" customWidth="1"/>
    <col min="7" max="7" width="24.42578125" style="1" customWidth="1"/>
    <col min="8" max="8" width="15.42578125" style="1" customWidth="1"/>
    <col min="9" max="9" width="15.7109375" style="1" customWidth="1"/>
    <col min="10" max="10" width="34.5703125" style="1" customWidth="1"/>
    <col min="11" max="11" width="48" style="1" customWidth="1"/>
    <col min="12" max="12" width="25.42578125" style="1" customWidth="1"/>
    <col min="13" max="13" width="29.28515625" style="1" customWidth="1"/>
    <col min="14" max="14" width="27.28515625" style="1" customWidth="1"/>
    <col min="15" max="15" width="55.42578125" style="1" customWidth="1"/>
    <col min="16" max="16" width="26" style="1" customWidth="1"/>
    <col min="17" max="17" width="16.42578125" style="1" customWidth="1"/>
    <col min="18" max="18" width="18.140625" style="1" customWidth="1"/>
    <col min="19" max="19" width="28.7109375" style="1" customWidth="1"/>
    <col min="20" max="20" width="29.5703125" style="1" customWidth="1"/>
    <col min="21" max="21" width="20" style="1" customWidth="1"/>
    <col min="22" max="22" width="38.140625" style="1" customWidth="1"/>
    <col min="23" max="23" width="34.28515625" style="1" customWidth="1"/>
    <col min="24" max="24" width="24.7109375" style="1" customWidth="1"/>
    <col min="25" max="25" width="26.42578125" style="1" customWidth="1"/>
    <col min="26" max="26" width="22.85546875" style="1" customWidth="1"/>
    <col min="27" max="27" width="31" style="1" customWidth="1"/>
    <col min="28" max="28" width="35.5703125" style="1" customWidth="1"/>
    <col min="29" max="16384" width="9.140625" style="1"/>
  </cols>
  <sheetData>
    <row r="1" spans="1:28" x14ac:dyDescent="0.25">
      <c r="A1" s="1" t="s">
        <v>0</v>
      </c>
      <c r="B1" s="1" t="s">
        <v>0</v>
      </c>
      <c r="C1" s="1" t="s">
        <v>0</v>
      </c>
      <c r="D1" s="1" t="s">
        <v>0</v>
      </c>
      <c r="E1" s="1" t="s">
        <v>1</v>
      </c>
      <c r="F1" s="1" t="s">
        <v>1</v>
      </c>
      <c r="G1" s="1" t="s">
        <v>1</v>
      </c>
      <c r="H1" s="1" t="s">
        <v>0</v>
      </c>
      <c r="I1" s="1" t="s">
        <v>0</v>
      </c>
      <c r="J1" s="1" t="s">
        <v>2</v>
      </c>
      <c r="K1" s="1" t="s">
        <v>2</v>
      </c>
      <c r="L1" s="1" t="s">
        <v>1</v>
      </c>
      <c r="M1" s="1" t="s">
        <v>1</v>
      </c>
      <c r="N1" s="1" t="s">
        <v>0</v>
      </c>
      <c r="O1" s="1" t="s">
        <v>2</v>
      </c>
      <c r="P1" s="1" t="s">
        <v>0</v>
      </c>
      <c r="Q1" s="1" t="s">
        <v>1</v>
      </c>
      <c r="R1" s="1" t="s">
        <v>1</v>
      </c>
      <c r="S1" s="1" t="s">
        <v>1</v>
      </c>
      <c r="T1" s="1" t="s">
        <v>1</v>
      </c>
      <c r="U1" s="1" t="s">
        <v>0</v>
      </c>
      <c r="V1" s="1" t="s">
        <v>3</v>
      </c>
      <c r="W1" s="1" t="s">
        <v>1</v>
      </c>
      <c r="X1" s="1" t="s">
        <v>1</v>
      </c>
      <c r="Y1" s="1" t="s">
        <v>1</v>
      </c>
      <c r="Z1" s="1" t="s">
        <v>1</v>
      </c>
      <c r="AA1" s="1" t="s">
        <v>1</v>
      </c>
      <c r="AB1" s="1" t="s">
        <v>1</v>
      </c>
    </row>
    <row r="2" spans="1:28" x14ac:dyDescent="0.25">
      <c r="A2" s="5" t="s">
        <v>4</v>
      </c>
      <c r="B2" s="5" t="s">
        <v>5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  <c r="H2" s="5" t="s">
        <v>11</v>
      </c>
      <c r="I2" s="5" t="s">
        <v>12</v>
      </c>
      <c r="J2" s="5" t="s">
        <v>13</v>
      </c>
      <c r="K2" s="5" t="s">
        <v>14</v>
      </c>
      <c r="L2" s="5" t="s">
        <v>15</v>
      </c>
      <c r="M2" s="5" t="s">
        <v>16</v>
      </c>
      <c r="N2" s="5" t="s">
        <v>17</v>
      </c>
      <c r="O2" s="5" t="s">
        <v>18</v>
      </c>
      <c r="P2" s="5" t="s">
        <v>19</v>
      </c>
      <c r="Q2" s="5" t="s">
        <v>20</v>
      </c>
      <c r="R2" s="5" t="s">
        <v>21</v>
      </c>
      <c r="S2" s="5" t="s">
        <v>22</v>
      </c>
      <c r="T2" s="5" t="s">
        <v>23</v>
      </c>
      <c r="U2" s="5" t="s">
        <v>24</v>
      </c>
      <c r="V2" s="5" t="s">
        <v>25</v>
      </c>
      <c r="W2" s="5" t="s">
        <v>26</v>
      </c>
      <c r="X2" s="5" t="s">
        <v>27</v>
      </c>
      <c r="Y2" s="5" t="s">
        <v>28</v>
      </c>
      <c r="Z2" s="5" t="s">
        <v>29</v>
      </c>
      <c r="AA2" s="5" t="s">
        <v>30</v>
      </c>
      <c r="AB2" s="5" t="s">
        <v>31</v>
      </c>
    </row>
    <row r="3" spans="1:28" x14ac:dyDescent="0.25">
      <c r="A3" s="3" t="str">
        <f>"All Waste Matters Ltd."</f>
        <v>All Waste Matters Ltd.</v>
      </c>
      <c r="B3" s="3" t="str">
        <f>"Unit 1 Joseph Wilson Industrial Estate, Millstrood Road, Whitstable"</f>
        <v>Unit 1 Joseph Wilson Industrial Estate, Millstrood Road, Whitstable</v>
      </c>
      <c r="C3" s="3" t="str">
        <f>"CT5 3PS"</f>
        <v>CT5 3PS</v>
      </c>
      <c r="D3" s="3" t="str">
        <f>"EPR/WP3295EX"</f>
        <v>EPR/WP3295EX</v>
      </c>
      <c r="E3" s="3"/>
      <c r="F3" s="6" t="str">
        <f>"info@allwastematters.co.uk"</f>
        <v>info@allwastematters.co.uk</v>
      </c>
      <c r="G3" s="6" t="str">
        <f>"01227 280888"</f>
        <v>01227 280888</v>
      </c>
      <c r="H3" s="7"/>
      <c r="I3" s="11"/>
      <c r="J3" s="3"/>
      <c r="K3" s="3"/>
      <c r="L3" s="3"/>
      <c r="M3" s="3" t="str">
        <f>"PPE"</f>
        <v>PPE</v>
      </c>
      <c r="N3" s="3" t="str">
        <f>"CBDU73993"</f>
        <v>CBDU73993</v>
      </c>
      <c r="O3" s="3"/>
      <c r="P3" s="3" t="str">
        <f>"All Waste Matters Ltd."</f>
        <v>All Waste Matters Ltd.</v>
      </c>
      <c r="Q3" s="3" t="str">
        <f>"Unit 1 Joseph Wilson Industrial Estate, Millstrood Road, Whitstable"</f>
        <v>Unit 1 Joseph Wilson Industrial Estate, Millstrood Road, Whitstable</v>
      </c>
      <c r="R3" s="3" t="str">
        <f>"CT5 3PS"</f>
        <v>CT5 3PS</v>
      </c>
      <c r="S3" s="6" t="str">
        <f>"info@allwastematters.co.uk"</f>
        <v>info@allwastematters.co.uk</v>
      </c>
      <c r="T3" s="6" t="str">
        <f>"01227 280888"</f>
        <v>01227 280888</v>
      </c>
      <c r="U3" s="3" t="str">
        <f>"Road"</f>
        <v>Road</v>
      </c>
      <c r="V3" s="3" t="str">
        <f>"YB22 OFC"</f>
        <v>YB22 OFC</v>
      </c>
      <c r="W3" s="3"/>
      <c r="X3" s="3"/>
      <c r="Y3" s="3"/>
      <c r="Z3" s="3"/>
      <c r="AA3" s="3"/>
      <c r="AB3" s="3"/>
    </row>
  </sheetData>
  <dataValidations count="3">
    <dataValidation type="list" allowBlank="1" showInputMessage="1" showErrorMessage="1" sqref="K3" xr:uid="{D89ED8F2-22DE-4DA4-97F9-7F3F64A50918}">
      <formula1>NoCNNReasons</formula1>
    </dataValidation>
    <dataValidation type="list" allowBlank="1" showInputMessage="1" showErrorMessage="1" sqref="U3" xr:uid="{B2EBD264-DD4E-47B1-9482-EDC76AA0313A}">
      <formula1>TransportMeans</formula1>
    </dataValidation>
    <dataValidation type="list" allowBlank="1" showInputMessage="1" showErrorMessage="1" sqref="O3" xr:uid="{77F466FF-8479-4B2F-95F2-07CED2D87709}">
      <formula1>NoRNReasons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7F79E-CBC1-42AF-8B83-B1626CAF5B15}">
  <sheetPr codeName="Sheet2"/>
  <dimension ref="A1:Q3"/>
  <sheetViews>
    <sheetView workbookViewId="0">
      <selection activeCell="A3" sqref="A3"/>
    </sheetView>
  </sheetViews>
  <sheetFormatPr defaultRowHeight="15" x14ac:dyDescent="0.25"/>
  <cols>
    <col min="1" max="1" width="9.85546875" style="1" customWidth="1"/>
    <col min="2" max="2" width="13" style="1" customWidth="1"/>
    <col min="3" max="3" width="12.85546875" style="1" customWidth="1"/>
    <col min="4" max="4" width="15" style="1" customWidth="1"/>
    <col min="5" max="5" width="17.140625" style="1" customWidth="1"/>
    <col min="6" max="6" width="12" style="1" customWidth="1"/>
    <col min="7" max="7" width="16.5703125" style="1" customWidth="1"/>
    <col min="8" max="8" width="12.7109375" style="1" customWidth="1"/>
    <col min="9" max="9" width="18.5703125" style="1" customWidth="1"/>
    <col min="10" max="10" width="32.140625" style="1" customWidth="1"/>
    <col min="11" max="11" width="21.42578125" style="1" customWidth="1"/>
    <col min="12" max="12" width="22.42578125" style="1" customWidth="1"/>
    <col min="13" max="13" width="15.85546875" style="1" customWidth="1"/>
    <col min="14" max="14" width="29.5703125" style="1" customWidth="1"/>
    <col min="15" max="15" width="39" style="1" customWidth="1"/>
    <col min="16" max="16" width="32.42578125" style="1" customWidth="1"/>
    <col min="17" max="17" width="34.140625" style="1" customWidth="1"/>
    <col min="18" max="16384" width="9.140625" style="1"/>
  </cols>
  <sheetData>
    <row r="1" spans="1:17" x14ac:dyDescent="0.25">
      <c r="A1" s="1" t="s">
        <v>0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3</v>
      </c>
      <c r="L1" s="1" t="s">
        <v>3</v>
      </c>
      <c r="M1" s="1" t="s">
        <v>0</v>
      </c>
      <c r="N1" s="1" t="s">
        <v>3</v>
      </c>
      <c r="O1" s="1" t="s">
        <v>3</v>
      </c>
      <c r="P1" s="1" t="s">
        <v>3</v>
      </c>
      <c r="Q1" s="1" t="s">
        <v>0</v>
      </c>
    </row>
    <row r="2" spans="1:17" ht="30" customHeight="1" x14ac:dyDescent="0.25">
      <c r="A2" s="12" t="s">
        <v>48</v>
      </c>
      <c r="B2" s="13" t="s">
        <v>32</v>
      </c>
      <c r="C2" s="13" t="s">
        <v>33</v>
      </c>
      <c r="D2" s="13" t="s">
        <v>34</v>
      </c>
      <c r="E2" s="13" t="s">
        <v>35</v>
      </c>
      <c r="F2" s="13" t="s">
        <v>36</v>
      </c>
      <c r="G2" s="13" t="s">
        <v>37</v>
      </c>
      <c r="H2" s="13" t="s">
        <v>38</v>
      </c>
      <c r="I2" s="13" t="s">
        <v>39</v>
      </c>
      <c r="J2" s="13" t="s">
        <v>40</v>
      </c>
      <c r="K2" s="13" t="s">
        <v>41</v>
      </c>
      <c r="L2" s="13" t="s">
        <v>42</v>
      </c>
      <c r="M2" s="13" t="s">
        <v>43</v>
      </c>
      <c r="N2" s="13" t="s">
        <v>44</v>
      </c>
      <c r="O2" s="13" t="s">
        <v>45</v>
      </c>
      <c r="P2" s="13" t="s">
        <v>46</v>
      </c>
      <c r="Q2" s="14" t="s">
        <v>47</v>
      </c>
    </row>
    <row r="3" spans="1:17" x14ac:dyDescent="0.25">
      <c r="A3" s="2"/>
      <c r="B3" s="6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4"/>
    </row>
  </sheetData>
  <dataValidations count="5">
    <dataValidation type="list" allowBlank="1" showInputMessage="1" showErrorMessage="1" sqref="D3" xr:uid="{1C3E2E73-E634-402A-AD1D-502EEE6561C5}">
      <formula1>States</formula1>
    </dataValidation>
    <dataValidation type="list" allowBlank="1" showInputMessage="1" showErrorMessage="1" sqref="F3" xr:uid="{B4C7DC77-C590-4898-B11C-FA6C41952A73}">
      <formula1>Containers</formula1>
    </dataValidation>
    <dataValidation type="list" allowBlank="1" showInputMessage="1" showErrorMessage="1" sqref="G3" xr:uid="{D7B37606-1710-4C55-9815-F989C8F4D719}">
      <formula1>Units</formula1>
    </dataValidation>
    <dataValidation type="list" allowBlank="1" showInputMessage="1" showErrorMessage="1" sqref="M3 I3:J3" xr:uid="{EFD3DE40-976C-49D7-842D-8F74C5E2B979}">
      <formula1>YesNo</formula1>
    </dataValidation>
    <dataValidation type="list" allowBlank="1" showInputMessage="1" showErrorMessage="1" sqref="L3 P3" xr:uid="{163CDB7C-A588-400B-A8C1-371081F72A21}">
      <formula1>sourceOfComponents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Data</vt:lpstr>
      <vt:lpstr>Movements</vt:lpstr>
      <vt:lpstr>Items</vt:lpstr>
      <vt:lpstr>Containers</vt:lpstr>
      <vt:lpstr>NoCNNReasons</vt:lpstr>
      <vt:lpstr>NoRNReasons</vt:lpstr>
      <vt:lpstr>sourceOfComponents</vt:lpstr>
      <vt:lpstr>States</vt:lpstr>
      <vt:lpstr>TransportMeans</vt:lpstr>
      <vt:lpstr>Units</vt:lpstr>
      <vt:lpstr>YesNo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 Waste Matters</dc:creator>
  <cp:lastModifiedBy>All Waste Matters</cp:lastModifiedBy>
  <dcterms:created xsi:type="dcterms:W3CDTF">2024-08-20T07:50:12Z</dcterms:created>
  <dcterms:modified xsi:type="dcterms:W3CDTF">2026-01-20T10:08:37Z</dcterms:modified>
</cp:coreProperties>
</file>